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<sst xmlns="http://schemas.openxmlformats.org/spreadsheetml/2006/main" count="10" uniqueCount="10">
  <si>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OID</t>
  </si>
  <si>
    <t>Value</t>
  </si>
  <si>
    <t>Count</t>
  </si>
  <si>
    <t>邻域权重系数</t>
  </si>
  <si>
    <t>耕地</t>
  </si>
  <si>
    <t>林地</t>
  </si>
  <si>
    <t>草地</t>
  </si>
  <si>
    <t>水域</t>
  </si>
  <si>
    <t>建设用地</t>
  </si>
  <si>
    <t>未利用地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</si>
</sst>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0" sqref="F10"/>
    </sheetView>
  </sheetViews>
  <sheetFormatPr defaultColWidth="9" defaultRowHeight="13.5" outlineLevelCol="4"/>
  <cols>
    <col min="4" max="4" width="12.625"/>
  </cols>
  <sheetData>
    <row r="1" spans="1:3">
      <c r="A1" t="s">
        <v>0</v>
      </c>
      <c r="B1" t="s">
        <v>1</v>
      </c>
      <c r="C1" t="s">
        <v>2</v>
      </c>
    </row>
    <row r="2" spans="1:4">
      <c r="A2">
        <v>0</v>
      </c>
      <c r="B2">
        <v>0</v>
      </c>
      <c r="C2">
        <v>44750991</v>
      </c>
      <c r="D2" t="s">
        <v>3</v>
      </c>
    </row>
    <row r="3" spans="1:5">
      <c r="A3">
        <v>1</v>
      </c>
      <c r="B3">
        <v>1</v>
      </c>
      <c r="C3">
        <v>938949</v>
      </c>
      <c r="D3" s="1">
        <f t="shared" ref="D3:D8" si="0">C3/$C$9</f>
        <v>0.245021219363834</v>
      </c>
      <c r="E3" t="s">
        <v>4</v>
      </c>
    </row>
    <row r="4" spans="1:5">
      <c r="A4">
        <v>2</v>
      </c>
      <c r="B4">
        <v>2</v>
      </c>
      <c r="C4">
        <v>1344964</v>
      </c>
      <c r="D4" s="1">
        <f t="shared" si="0"/>
        <v>0.350971905056036</v>
      </c>
      <c r="E4" t="s">
        <v>5</v>
      </c>
    </row>
    <row r="5" spans="1:5">
      <c r="A5">
        <v>3</v>
      </c>
      <c r="B5">
        <v>3</v>
      </c>
      <c r="C5">
        <v>1053842</v>
      </c>
      <c r="D5" s="1">
        <f t="shared" si="0"/>
        <v>0.27500285090758</v>
      </c>
      <c r="E5" t="s">
        <v>6</v>
      </c>
    </row>
    <row r="6" spans="1:5">
      <c r="A6">
        <v>4</v>
      </c>
      <c r="B6">
        <v>4</v>
      </c>
      <c r="C6">
        <v>112577</v>
      </c>
      <c r="D6" s="1">
        <f t="shared" si="0"/>
        <v>0.0293772652320012</v>
      </c>
      <c r="E6" t="s">
        <v>7</v>
      </c>
    </row>
    <row r="7" spans="1:5">
      <c r="A7">
        <v>5</v>
      </c>
      <c r="B7">
        <v>5</v>
      </c>
      <c r="C7">
        <v>243129</v>
      </c>
      <c r="D7" s="1">
        <f t="shared" si="0"/>
        <v>0.0634451541486381</v>
      </c>
      <c r="E7" t="s">
        <v>8</v>
      </c>
    </row>
    <row r="8" spans="1:5">
      <c r="A8">
        <v>6</v>
      </c>
      <c r="B8">
        <v>6</v>
      </c>
      <c r="C8">
        <v>138652</v>
      </c>
      <c r="D8" s="1">
        <f t="shared" si="0"/>
        <v>0.0361816052919108</v>
      </c>
      <c r="E8" t="s">
        <v>9</v>
      </c>
    </row>
    <row r="9" spans="3:3">
      <c r="C9">
        <f>SUM(C3:C8)</f>
        <v>3832113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Linbcn</dc:creator>
  <cp:lastModifiedBy>Pengcheng Li</cp:lastModifiedBy>
  <dcterms:created xsi:type="dcterms:W3CDTF">2024-08-10T10:29:00Z</dcterms:created>
  <dcterms:modified xsi:type="dcterms:W3CDTF">2025-08-11T03:03:51Z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ADBEBFF7B1E94155A2479955B4FFDCE8_11</vt:lpwstr>
  </property>
  <property fmtid="{D5CDD505-2E9C-101B-9397-08002B2CF9AE}" pid="3" name="KSOProductBuildVer">
    <vt:lpwstr>2052-12.1.0.22215</vt:lpwstr>
  </property>
</Properties>
</file>